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projeto_fluxo\"/>
    </mc:Choice>
  </mc:AlternateContent>
  <bookViews>
    <workbookView xWindow="0" yWindow="0" windowWidth="15060" windowHeight="5760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2" i="1" l="1"/>
  <c r="L2" i="1"/>
  <c r="B2" i="1"/>
  <c r="AD2" i="1"/>
  <c r="W2" i="1"/>
  <c r="AB2" i="1"/>
  <c r="E2" i="1"/>
  <c r="G2" i="1"/>
  <c r="AF2" i="1"/>
  <c r="M2" i="1"/>
  <c r="X2" i="1"/>
  <c r="K2" i="1"/>
  <c r="C2" i="1"/>
  <c r="H2" i="1"/>
  <c r="J2" i="1"/>
  <c r="AC2" i="1"/>
  <c r="U2" i="1"/>
  <c r="D2" i="1"/>
  <c r="T2" i="1"/>
  <c r="N2" i="1"/>
  <c r="F2" i="1"/>
  <c r="Y2" i="1"/>
  <c r="AE2" i="1"/>
  <c r="Z2" i="1"/>
  <c r="AA2" i="1" l="1"/>
  <c r="I2" i="1"/>
</calcChain>
</file>

<file path=xl/sharedStrings.xml><?xml version="1.0" encoding="utf-8"?>
<sst xmlns="http://schemas.openxmlformats.org/spreadsheetml/2006/main" count="30" uniqueCount="15">
  <si>
    <t>Hora</t>
  </si>
  <si>
    <t>Abertura</t>
  </si>
  <si>
    <t>Volume</t>
  </si>
  <si>
    <t>VWAP</t>
  </si>
  <si>
    <t>Asset</t>
  </si>
  <si>
    <t>Data</t>
  </si>
  <si>
    <t>Último</t>
  </si>
  <si>
    <t>Máximo</t>
  </si>
  <si>
    <t>Mínimo</t>
  </si>
  <si>
    <t>TR - Saldo Acumulado de Agressão</t>
  </si>
  <si>
    <t>TR - Volume de Agressão - Compra</t>
  </si>
  <si>
    <t>TR - Volume de Agressão - Saldo</t>
  </si>
  <si>
    <t>TR - Volume de Agressão - Venda</t>
  </si>
  <si>
    <t>WINM26</t>
  </si>
  <si>
    <t>TR_DELTA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</si>
</sst>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tdtrading.rtdserver">
      <tp>
        <v>169970</v>
        <stp/>
        <stp>WINM26_F_0</stp>
        <stp>ABE</stp>
        <tr r="E2" s="1"/>
        <tr r="W2" s="1"/>
      </tp>
      <tp t="s">
        <v>09/06/2026</v>
        <stp/>
        <stp>WINM26_F_0</stp>
        <stp>DAT</stp>
        <tr r="T2" s="1"/>
        <tr r="B2" s="1"/>
      </tp>
      <tp t="s">
        <v>18:31:28</v>
        <stp/>
        <stp>WINM26_F_0</stp>
        <stp>HOR</stp>
        <tr r="U2" s="1"/>
        <tr r="C2" s="1"/>
      </tp>
      <tp>
        <v>171205</v>
        <stp/>
        <stp>WINM26_F_0</stp>
        <stp>MAX</stp>
        <tr r="F2" s="1"/>
        <tr r="X2" s="1"/>
      </tp>
      <tp>
        <v>168710</v>
        <stp/>
        <stp>WINM26_F_0</stp>
        <stp>MIN</stp>
        <tr r="Y2" s="1"/>
        <tr r="G2" s="1"/>
      </tp>
      <tp>
        <v>170025</v>
        <stp/>
        <stp>WINM26_F_0</stp>
        <stp>ULT</stp>
        <tr r="D2" s="1"/>
        <tr r="V2" s="1"/>
      </tp>
      <tp>
        <v>723451389850</v>
        <stp/>
        <stp>WINM26_F_0</stp>
        <stp>VOL</stp>
        <tr r="Z2" s="1"/>
        <tr r="H2" s="1"/>
      </tp>
      <tp t="s">
        <v>-31.399,00</v>
        <stp/>
        <stp>WINM26_F_0</stp>
        <stp>103</stp>
        <tr r="J2" s="1"/>
        <tr r="AB2" s="1"/>
      </tp>
      <tp t="s">
        <v>-31.399</v>
        <stp/>
        <stp>WINM26_F_0</stp>
        <stp>100</stp>
        <tr r="AD2" s="1"/>
        <tr r="L2" s="1"/>
      </tp>
      <tp t="s">
        <v>170.131</v>
        <stp/>
        <stp>WINM26_F_0</stp>
        <stp>67</stp>
        <tr r="N2" s="1"/>
        <tr r="AF2" s="1"/>
      </tp>
      <tp t="s">
        <v>8.004.510</v>
        <stp/>
        <stp>WINM26_F_0</stp>
        <stp>98</stp>
        <tr r="AC2" s="1"/>
        <tr r="K2" s="1"/>
      </tp>
      <tp t="s">
        <v>8.035.909</v>
        <stp/>
        <stp>WINM26_F_0</stp>
        <stp>99</stp>
        <tr r="AE2" s="1"/>
        <tr r="M2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"/>
  <sheetViews>
    <sheetView tabSelected="1" zoomScale="73" zoomScaleNormal="73" workbookViewId="0">
      <selection activeCell="S2" sqref="S2"/>
    </sheetView>
  </sheetViews>
  <sheetFormatPr defaultRowHeight="15" x14ac:dyDescent="0.25"/>
  <cols>
    <col min="1" max="1" width="8.5703125" bestFit="1" customWidth="1"/>
    <col min="2" max="2" width="10.7109375" bestFit="1" customWidth="1"/>
    <col min="3" max="3" width="8.140625" bestFit="1" customWidth="1"/>
    <col min="4" max="4" width="7.7109375" bestFit="1" customWidth="1"/>
    <col min="5" max="5" width="9.42578125" bestFit="1" customWidth="1"/>
    <col min="6" max="6" width="9" bestFit="1" customWidth="1"/>
    <col min="7" max="7" width="8.5703125" bestFit="1" customWidth="1"/>
    <col min="8" max="8" width="12" bestFit="1" customWidth="1"/>
    <col min="9" max="9" width="19.140625" bestFit="1" customWidth="1"/>
    <col min="10" max="10" width="32.7109375" bestFit="1" customWidth="1"/>
    <col min="11" max="11" width="32.5703125" bestFit="1" customWidth="1"/>
    <col min="12" max="12" width="30.5703125" bestFit="1" customWidth="1"/>
    <col min="13" max="13" width="31.28515625" bestFit="1" customWidth="1"/>
    <col min="14" max="14" width="7.5703125" bestFit="1" customWidth="1"/>
    <col min="15" max="17" width="7.140625" bestFit="1" customWidth="1"/>
    <col min="18" max="18" width="7.5703125" customWidth="1"/>
  </cols>
  <sheetData>
    <row r="1" spans="1:32" x14ac:dyDescent="0.25">
      <c r="A1" s="1" t="s">
        <v>4</v>
      </c>
      <c r="B1" s="1" t="s">
        <v>5</v>
      </c>
      <c r="C1" s="1" t="s">
        <v>0</v>
      </c>
      <c r="D1" s="1" t="s">
        <v>6</v>
      </c>
      <c r="E1" s="1" t="s">
        <v>1</v>
      </c>
      <c r="F1" s="1" t="s">
        <v>7</v>
      </c>
      <c r="G1" s="1" t="s">
        <v>8</v>
      </c>
      <c r="H1" s="1" t="s">
        <v>2</v>
      </c>
      <c r="I1" s="1" t="s">
        <v>14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3</v>
      </c>
      <c r="O1" s="1"/>
      <c r="P1" s="1"/>
      <c r="Q1" s="1"/>
      <c r="R1" s="1"/>
      <c r="S1" t="s">
        <v>4</v>
      </c>
      <c r="T1" t="s">
        <v>5</v>
      </c>
      <c r="U1" t="s">
        <v>0</v>
      </c>
      <c r="V1" t="s">
        <v>6</v>
      </c>
      <c r="W1" t="s">
        <v>1</v>
      </c>
      <c r="X1" t="s">
        <v>7</v>
      </c>
      <c r="Y1" t="s">
        <v>8</v>
      </c>
      <c r="Z1" t="s">
        <v>2</v>
      </c>
      <c r="AA1" s="1" t="s">
        <v>14</v>
      </c>
      <c r="AB1" t="s">
        <v>9</v>
      </c>
      <c r="AC1" t="s">
        <v>10</v>
      </c>
      <c r="AD1" t="s">
        <v>11</v>
      </c>
      <c r="AE1" t="s">
        <v>12</v>
      </c>
      <c r="AF1" t="s">
        <v>3</v>
      </c>
    </row>
    <row r="2" spans="1:32" x14ac:dyDescent="0.25">
      <c r="A2" s="2" t="s">
        <v>13</v>
      </c>
      <c r="B2" s="2" t="str">
        <f>RTD("rtdtrading.rtdserver",, "WINM26_F_0", "DAT")</f>
        <v>09/06/2026</v>
      </c>
      <c r="C2" s="2" t="str">
        <f>RTD("rtdtrading.rtdserver",, "WINM26_F_0", "HOR")</f>
        <v>18:31:28</v>
      </c>
      <c r="D2" s="2">
        <f>RTD("rtdtrading.rtdserver",,"WINM26_F_0","ULT")</f>
        <v>170025</v>
      </c>
      <c r="E2" s="2">
        <f>RTD("rtdtrading.rtdserver",, "WINM26_F_0", "ABE")</f>
        <v>169970</v>
      </c>
      <c r="F2" s="2">
        <f>RTD("rtdtrading.rtdserver",, "WINM26_F_0", "MAX")</f>
        <v>171205</v>
      </c>
      <c r="G2" s="2">
        <f>RTD("rtdtrading.rtdserver",, "WINM26_F_0", "MIN")</f>
        <v>168710</v>
      </c>
      <c r="H2" s="2">
        <f>RTD("rtdtrading.rtdserver",, "WINM26_F_0", "VOL")</f>
        <v>723451389850</v>
      </c>
      <c r="I2" s="3" t="str">
        <f>L2</f>
        <v>-31.399</v>
      </c>
      <c r="J2" s="2" t="str">
        <f>RTD("rtdtrading.rtdserver",, "WINM26_F_0", "103")</f>
        <v>-31.399,00</v>
      </c>
      <c r="K2" s="2" t="str">
        <f>RTD("rtdtrading.rtdserver",, "WINM26_F_0", "98")</f>
        <v>8.004.510</v>
      </c>
      <c r="L2" s="2" t="str">
        <f>RTD("rtdtrading.rtdserver",, "WINM26_F_0", "100")</f>
        <v>-31.399</v>
      </c>
      <c r="M2" s="2" t="str">
        <f>RTD("rtdtrading.rtdserver",, "WINM26_F_0", "99")</f>
        <v>8.035.909</v>
      </c>
      <c r="N2" s="2" t="str">
        <f>RTD("rtdtrading.rtdserver",, "WINM26_F_0", "67")</f>
        <v>170.131</v>
      </c>
      <c r="Q2" s="2"/>
      <c r="R2" s="2"/>
      <c r="S2" t="s">
        <v>13</v>
      </c>
      <c r="T2" t="str">
        <f>RTD("rtdtrading.rtdserver",, "WINM26_F_0", "DAT")</f>
        <v>09/06/2026</v>
      </c>
      <c r="U2" t="str">
        <f>RTD("rtdtrading.rtdserver",, "WINM26_F_0", "HOR")</f>
        <v>18:31:28</v>
      </c>
      <c r="V2">
        <f>RTD("rtdtrading.rtdserver",, "WINM26_F_0", "ULT")</f>
        <v>170025</v>
      </c>
      <c r="W2">
        <f>RTD("rtdtrading.rtdserver",, "WINM26_F_0", "ABE")</f>
        <v>169970</v>
      </c>
      <c r="X2">
        <f>RTD("rtdtrading.rtdserver",, "WINM26_F_0", "MAX")</f>
        <v>171205</v>
      </c>
      <c r="Y2">
        <f>RTD("rtdtrading.rtdserver",, "WINM26_F_0", "MIN")</f>
        <v>168710</v>
      </c>
      <c r="Z2">
        <f>RTD("rtdtrading.rtdserver",, "WINM26_F_0", "VOL")</f>
        <v>723451389850</v>
      </c>
      <c r="AA2" s="3" t="str">
        <f>AD2</f>
        <v>-31.399</v>
      </c>
      <c r="AB2" t="str">
        <f>RTD("rtdtrading.rtdserver",, "WINM26_F_0", "103")</f>
        <v>-31.399,00</v>
      </c>
      <c r="AC2" t="str">
        <f>RTD("rtdtrading.rtdserver",, "WINM26_F_0", "98")</f>
        <v>8.004.510</v>
      </c>
      <c r="AD2" t="str">
        <f>RTD("rtdtrading.rtdserver",, "WINM26_F_0", "100")</f>
        <v>-31.399</v>
      </c>
      <c r="AE2" t="str">
        <f>RTD("rtdtrading.rtdserver",, "WINM26_F_0", "99")</f>
        <v>8.035.909</v>
      </c>
      <c r="AF2" t="str">
        <f>RTD("rtdtrading.rtdserver",, "WINM26_F_0", "67")</f>
        <v>170.131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2026-06-02T00:47:47Z</dcterms:created>
  <dcterms:modified xsi:type="dcterms:W3CDTF">2026-06-10T03:46:53Z</dcterms:modified>
</cp:coreProperties>
</file>